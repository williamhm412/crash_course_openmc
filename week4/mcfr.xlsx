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openmc\mcfr_openmc\"/>
    </mc:Choice>
  </mc:AlternateContent>
  <xr:revisionPtr revIDLastSave="0" documentId="13_ncr:1_{88BEC314-3E1B-4718-9D3E-0A413FF1AE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erials MCFR D" sheetId="1" r:id="rId1"/>
    <sheet name="geometry MCFR-D" sheetId="2" r:id="rId2"/>
    <sheet name="materials MCFR C" sheetId="4" r:id="rId3"/>
    <sheet name="geometry MCFR-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9" i="3"/>
  <c r="B7" i="3"/>
  <c r="B18" i="3" l="1"/>
  <c r="C18" i="3" s="1"/>
  <c r="B17" i="3"/>
  <c r="C17" i="3" s="1"/>
  <c r="B16" i="3"/>
  <c r="C16" i="3" s="1"/>
  <c r="C15" i="3"/>
  <c r="C14" i="3"/>
  <c r="C13" i="3"/>
  <c r="C9" i="3"/>
  <c r="C8" i="3"/>
  <c r="B8" i="3"/>
  <c r="C7" i="3"/>
  <c r="C58" i="4"/>
  <c r="B58" i="4"/>
  <c r="D56" i="4"/>
  <c r="C56" i="4"/>
  <c r="D55" i="4"/>
  <c r="C55" i="4"/>
  <c r="D54" i="4"/>
  <c r="C54" i="4"/>
  <c r="B47" i="4"/>
  <c r="B37" i="4"/>
  <c r="B35" i="4"/>
  <c r="B15" i="4"/>
  <c r="B14" i="4"/>
  <c r="B10" i="4"/>
  <c r="D8" i="4"/>
  <c r="D7" i="4"/>
  <c r="D6" i="4"/>
  <c r="C22" i="2"/>
  <c r="B22" i="2"/>
  <c r="C21" i="2"/>
  <c r="B21" i="2"/>
  <c r="C20" i="2"/>
  <c r="B20" i="2"/>
  <c r="C19" i="2"/>
  <c r="B19" i="2"/>
  <c r="C18" i="2"/>
  <c r="B18" i="2"/>
  <c r="C17" i="2"/>
  <c r="B17" i="2"/>
  <c r="C13" i="2"/>
  <c r="B13" i="2"/>
  <c r="C12" i="2"/>
  <c r="B12" i="2"/>
  <c r="C11" i="2"/>
  <c r="B11" i="2"/>
  <c r="B49" i="1"/>
  <c r="B39" i="1"/>
  <c r="B37" i="1"/>
  <c r="B17" i="1"/>
  <c r="B16" i="1"/>
  <c r="B12" i="1"/>
  <c r="D10" i="1"/>
  <c r="D9" i="1"/>
  <c r="D8" i="1"/>
</calcChain>
</file>

<file path=xl/sharedStrings.xml><?xml version="1.0" encoding="utf-8"?>
<sst xmlns="http://schemas.openxmlformats.org/spreadsheetml/2006/main" count="227" uniqueCount="94">
  <si>
    <t>Fuel</t>
  </si>
  <si>
    <t>Clad</t>
  </si>
  <si>
    <t>Reflector</t>
  </si>
  <si>
    <t>U</t>
  </si>
  <si>
    <t>enrichment</t>
  </si>
  <si>
    <t>Cl</t>
  </si>
  <si>
    <t>Na</t>
  </si>
  <si>
    <t>atom percent</t>
  </si>
  <si>
    <t>natural</t>
  </si>
  <si>
    <t>enriched in</t>
  </si>
  <si>
    <t>U235</t>
  </si>
  <si>
    <t>Cl37</t>
  </si>
  <si>
    <t>T</t>
  </si>
  <si>
    <t>K</t>
  </si>
  <si>
    <t>A</t>
  </si>
  <si>
    <t>B</t>
  </si>
  <si>
    <t>p</t>
  </si>
  <si>
    <t>kg / (m^3)</t>
  </si>
  <si>
    <t>wt fraction</t>
  </si>
  <si>
    <t>Ni</t>
  </si>
  <si>
    <t>Cr</t>
  </si>
  <si>
    <t>Mo</t>
  </si>
  <si>
    <t>Fe</t>
  </si>
  <si>
    <t>Nb</t>
  </si>
  <si>
    <t>Ta</t>
  </si>
  <si>
    <t>Co</t>
  </si>
  <si>
    <t>Mn</t>
  </si>
  <si>
    <t>Si</t>
  </si>
  <si>
    <t>Al</t>
  </si>
  <si>
    <t>Ti</t>
  </si>
  <si>
    <t>C</t>
  </si>
  <si>
    <t>P</t>
  </si>
  <si>
    <t>S</t>
  </si>
  <si>
    <t>Total</t>
  </si>
  <si>
    <t>Inconel 625 - Grade 2</t>
  </si>
  <si>
    <t>g / cc</t>
  </si>
  <si>
    <t>Mg</t>
  </si>
  <si>
    <t>O</t>
  </si>
  <si>
    <t>element</t>
  </si>
  <si>
    <t>c1</t>
  </si>
  <si>
    <t>description</t>
  </si>
  <si>
    <t>active core</t>
  </si>
  <si>
    <t>Pb</t>
  </si>
  <si>
    <t>vol percent</t>
  </si>
  <si>
    <t>Impure Reflector</t>
  </si>
  <si>
    <t>weight percent</t>
  </si>
  <si>
    <t>mass / vol</t>
  </si>
  <si>
    <t>total</t>
  </si>
  <si>
    <t>c2</t>
  </si>
  <si>
    <t>cladding</t>
  </si>
  <si>
    <t>c3</t>
  </si>
  <si>
    <t>radius (m)</t>
  </si>
  <si>
    <t>reflector</t>
  </si>
  <si>
    <t>radius (cm)</t>
  </si>
  <si>
    <t>z_1</t>
  </si>
  <si>
    <t>ZCylinders</t>
  </si>
  <si>
    <t>(all centered at (0,0) in the xy plane)</t>
  </si>
  <si>
    <t>Zplanes</t>
  </si>
  <si>
    <t>var name</t>
  </si>
  <si>
    <t>z0 (m)</t>
  </si>
  <si>
    <t>z0 (cm)</t>
  </si>
  <si>
    <t>z_2</t>
  </si>
  <si>
    <t>bottom of reflector</t>
  </si>
  <si>
    <t>bottom of clad</t>
  </si>
  <si>
    <t>z_3</t>
  </si>
  <si>
    <t>bottom of active core</t>
  </si>
  <si>
    <t>z1</t>
  </si>
  <si>
    <t>z2</t>
  </si>
  <si>
    <t>z3</t>
  </si>
  <si>
    <t>top of active core</t>
  </si>
  <si>
    <t>top of clad</t>
  </si>
  <si>
    <t>top of reflector</t>
  </si>
  <si>
    <t>Cells</t>
  </si>
  <si>
    <t>fill</t>
  </si>
  <si>
    <t>region</t>
  </si>
  <si>
    <t>clad</t>
  </si>
  <si>
    <t>core</t>
  </si>
  <si>
    <t>"+z_3 &amp; -z_2 &amp; -c3"</t>
  </si>
  <si>
    <t>"+z_2 &amp; -z2 &amp; +c2 &amp; -c3"</t>
  </si>
  <si>
    <t>"+z2 &amp; -z3 &amp; -c3"</t>
  </si>
  <si>
    <t>bottom reflector</t>
  </si>
  <si>
    <t>bottom clad</t>
  </si>
  <si>
    <t>top reflector</t>
  </si>
  <si>
    <t>radial reflector</t>
  </si>
  <si>
    <t>top clad</t>
  </si>
  <si>
    <t>axial clad</t>
  </si>
  <si>
    <t>total core</t>
  </si>
  <si>
    <t>"+z_2 &amp; -z_1 &amp; -c2"</t>
  </si>
  <si>
    <t>"+z1 &amp; -z2 &amp; -c2"</t>
  </si>
  <si>
    <t>"+z_1 &amp; -z1 &amp; +c1 &amp; -c2"</t>
  </si>
  <si>
    <t>"+z_1 &amp; -z1 &amp; -c1"</t>
  </si>
  <si>
    <t>impure_reflector</t>
  </si>
  <si>
    <t>boundary type</t>
  </si>
  <si>
    <t>vacuum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</si>
</sst>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000E+00"/>
    <numFmt numFmtId="166" formatCode="0.0"/>
  </numFmts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1"/>
    <xf numFmtId="165" fontId="0" fillId="0" borderId="0" xfId="0" applyNumberFormat="1"/>
    <xf numFmtId="0" fontId="3" fillId="0" borderId="0" xfId="0" applyFont="1"/>
    <xf numFmtId="2" fontId="0" fillId="0" borderId="0" xfId="0" applyNumberFormat="1"/>
    <xf numFmtId="166" fontId="0" fillId="0" borderId="0" xfId="0" applyNumberFormat="1"/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520700</xdr:colOff>
      <xdr:row>1</xdr:row>
      <xdr:rowOff>107950</xdr:rowOff>
    </xdr:from>
    <xdr:to>
      <xdr:col>12</xdr:col>
      <xdr:colOff>425862</xdr:colOff>
      <xdr:row>6</xdr:row>
      <xdr:rowOff>111254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76D7A-BB2E-D389-74D2-EDBEF1CEA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8300" y="292100"/>
          <a:ext cx="2953162" cy="92405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27</xdr:col>
      <xdr:colOff>354091</xdr:colOff>
      <xdr:row>14</xdr:row>
      <xdr:rowOff>9681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D64594-7B0A-FEA2-EBAF-2BE5863FA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1473200"/>
          <a:ext cx="11936491" cy="1114581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15</xdr:row>
      <xdr:rowOff>38100</xdr:rowOff>
    </xdr:from>
    <xdr:to>
      <xdr:col>15</xdr:col>
      <xdr:colOff>470559</xdr:colOff>
      <xdr:row>18</xdr:row>
      <xdr:rowOff>47703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72796D-3F9E-7CCD-BA2D-A295F2F57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46700" y="2800350"/>
          <a:ext cx="4725059" cy="562053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31</xdr:row>
      <xdr:rowOff>69850</xdr:rowOff>
    </xdr:from>
    <xdr:to>
      <xdr:col>16</xdr:col>
      <xdr:colOff>181633</xdr:colOff>
      <xdr:row>33</xdr:row>
      <xdr:rowOff>158814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9A4D59-D3E0-B804-0A39-BDCA986A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76900" y="5778500"/>
          <a:ext cx="4715533" cy="457264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34</xdr:row>
      <xdr:rowOff>31750</xdr:rowOff>
    </xdr:from>
    <xdr:to>
      <xdr:col>16</xdr:col>
      <xdr:colOff>172107</xdr:colOff>
      <xdr:row>35</xdr:row>
      <xdr:rowOff>133390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E4DEED-94C1-1C3B-BEA9-C63EB44E1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76900" y="6292850"/>
          <a:ext cx="4706007" cy="285790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508000</xdr:colOff>
      <xdr:row>47</xdr:row>
      <xdr:rowOff>44450</xdr:rowOff>
    </xdr:from>
    <xdr:to>
      <xdr:col>15</xdr:col>
      <xdr:colOff>356259</xdr:colOff>
      <xdr:row>50</xdr:row>
      <xdr:rowOff>44527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6540D7F-684A-7F53-AF30-CFB1AC40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32400" y="8699500"/>
          <a:ext cx="4725059" cy="552527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254001</xdr:colOff>
      <xdr:row>21</xdr:row>
      <xdr:rowOff>50801</xdr:rowOff>
    </xdr:from>
    <xdr:to>
      <xdr:col>6</xdr:col>
      <xdr:colOff>501651</xdr:colOff>
      <xdr:row>36</xdr:row>
      <xdr:rowOff>163797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722ACF-0F1E-4E86-A62E-A2F276D1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501" y="3917951"/>
          <a:ext cx="3028950" cy="28752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584200</xdr:colOff>
      <xdr:row>11</xdr:row>
      <xdr:rowOff>19050</xdr:rowOff>
    </xdr:from>
    <xdr:to>
      <xdr:col>20</xdr:col>
      <xdr:colOff>404223</xdr:colOff>
      <xdr:row>44</xdr:row>
      <xdr:rowOff>19898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94261-08F9-C6FB-1079-790893C9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1000" y="2044700"/>
          <a:ext cx="7135221" cy="6077798"/>
        </a:xfrm>
        <a:prstGeom prst="rect">
          <a:avLst/>
        </a:prstGeom>
      </xdr:spPr>
    </xdr:pic>
    <xdr:clientData/>
  </xdr:twoCellAnchor>
  <xdr:twoCellAnchor editAs="oneCell">
    <xdr:from>
      <xdr:col>8</xdr:col>
      <xdr:colOff>554365</xdr:colOff>
      <xdr:row>3</xdr:row>
      <xdr:rowOff>151190</xdr:rowOff>
    </xdr:from>
    <xdr:to>
      <xdr:col>16</xdr:col>
      <xdr:colOff>388412</xdr:colOff>
      <xdr:row>6</xdr:row>
      <xdr:rowOff>11094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DDA18F-70B4-E038-2885-EA1FED577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2460" y="695476"/>
          <a:ext cx="4672140" cy="404189"/>
        </a:xfrm>
        <a:prstGeom prst="rect">
          <a:avLst/>
        </a:prstGeom>
      </xdr:spPr>
    </xdr:pic>
    <xdr:clientData/>
  </xdr:twoCellAnchor>
  <xdr:twoCellAnchor editAs="oneCell">
    <xdr:from>
      <xdr:col>8</xdr:col>
      <xdr:colOff>554365</xdr:colOff>
      <xdr:row>6</xdr:row>
      <xdr:rowOff>151191</xdr:rowOff>
    </xdr:from>
    <xdr:to>
      <xdr:col>16</xdr:col>
      <xdr:colOff>407464</xdr:colOff>
      <xdr:row>8</xdr:row>
      <xdr:rowOff>52349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9239BB-4FFA-5374-59F7-13CCCE4A0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92460" y="1239762"/>
          <a:ext cx="4691192" cy="264016"/>
        </a:xfrm>
        <a:prstGeom prst="rect">
          <a:avLst/>
        </a:prstGeom>
      </xdr:spPr>
    </xdr:pic>
    <xdr:clientData/>
  </xdr:twoCellAnchor>
  <xdr:twoCellAnchor editAs="oneCell">
    <xdr:from>
      <xdr:col>8</xdr:col>
      <xdr:colOff>554365</xdr:colOff>
      <xdr:row>8</xdr:row>
      <xdr:rowOff>151190</xdr:rowOff>
    </xdr:from>
    <xdr:to>
      <xdr:col>16</xdr:col>
      <xdr:colOff>397938</xdr:colOff>
      <xdr:row>10</xdr:row>
      <xdr:rowOff>4718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56AB68-6CD3-B917-AD10-BA5CE88CE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2460" y="1602619"/>
          <a:ext cx="4681666" cy="216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292100</xdr:colOff>
      <xdr:row>1</xdr:row>
      <xdr:rowOff>0</xdr:rowOff>
    </xdr:from>
    <xdr:to>
      <xdr:col>14</xdr:col>
      <xdr:colOff>197262</xdr:colOff>
      <xdr:row>6</xdr:row>
      <xdr:rowOff>3304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D8BE7B-7153-4BB7-82D2-135C24549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0" y="184150"/>
          <a:ext cx="2953162" cy="924054"/>
        </a:xfrm>
        <a:prstGeom prst="rect">
          <a:avLst/>
        </a:prstGeom>
      </xdr:spPr>
    </xdr:pic>
    <xdr:clientData/>
  </xdr:twoCellAnchor>
  <xdr:twoCellAnchor editAs="oneCell">
    <xdr:from>
      <xdr:col>8</xdr:col>
      <xdr:colOff>463550</xdr:colOff>
      <xdr:row>7</xdr:row>
      <xdr:rowOff>76200</xdr:rowOff>
    </xdr:from>
    <xdr:to>
      <xdr:col>28</xdr:col>
      <xdr:colOff>208041</xdr:colOff>
      <xdr:row>13</xdr:row>
      <xdr:rowOff>85881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132E05-5BD5-4749-B8FD-5919F122F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0350" y="1365250"/>
          <a:ext cx="11936491" cy="11145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448333</xdr:colOff>
      <xdr:row>18</xdr:row>
      <xdr:rowOff>19130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089AE6-58C4-EDC0-EA73-612705621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2762250"/>
          <a:ext cx="4715533" cy="571580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19</xdr:row>
      <xdr:rowOff>0</xdr:rowOff>
    </xdr:from>
    <xdr:to>
      <xdr:col>11</xdr:col>
      <xdr:colOff>489608</xdr:colOff>
      <xdr:row>22</xdr:row>
      <xdr:rowOff>95340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3B83EF-A7A0-BC17-3B70-4BD0E747A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4450" y="3498850"/>
          <a:ext cx="4725059" cy="647790"/>
        </a:xfrm>
        <a:prstGeom prst="rect">
          <a:avLst/>
        </a:prstGeom>
      </xdr:spPr>
    </xdr:pic>
    <xdr:clientData/>
  </xdr:twoCellAnchor>
  <xdr:twoCellAnchor editAs="oneCell">
    <xdr:from>
      <xdr:col>4</xdr:col>
      <xdr:colOff>535296</xdr:colOff>
      <xdr:row>43</xdr:row>
      <xdr:rowOff>28717</xdr:rowOff>
    </xdr:from>
    <xdr:to>
      <xdr:col>12</xdr:col>
      <xdr:colOff>354975</xdr:colOff>
      <xdr:row>45</xdr:row>
      <xdr:rowOff>50997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4A43E4-58B9-5D4C-CB8E-C778038F8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5296" y="7771926"/>
          <a:ext cx="4672217" cy="382429"/>
        </a:xfrm>
        <a:prstGeom prst="rect">
          <a:avLst/>
        </a:prstGeom>
      </xdr:spPr>
    </xdr:pic>
    <xdr:clientData/>
  </xdr:twoCellAnchor>
  <xdr:twoCellAnchor editAs="oneCell">
    <xdr:from>
      <xdr:col>5</xdr:col>
      <xdr:colOff>51938</xdr:colOff>
      <xdr:row>54</xdr:row>
      <xdr:rowOff>114016</xdr:rowOff>
    </xdr:from>
    <xdr:to>
      <xdr:col>17</xdr:col>
      <xdr:colOff>272066</xdr:colOff>
      <xdr:row>57</xdr:row>
      <xdr:rowOff>123618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ADC4D3B-84C5-1DCE-7399-D29C6426F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98505" y="9838046"/>
          <a:ext cx="7498933" cy="549826"/>
        </a:xfrm>
        <a:prstGeom prst="rect">
          <a:avLst/>
        </a:prstGeom>
      </xdr:spPr>
    </xdr:pic>
    <xdr:clientData/>
  </xdr:twoCellAnchor>
  <xdr:twoCellAnchor editAs="oneCell">
    <xdr:from>
      <xdr:col>4</xdr:col>
      <xdr:colOff>425174</xdr:colOff>
      <xdr:row>58</xdr:row>
      <xdr:rowOff>165652</xdr:rowOff>
    </xdr:from>
    <xdr:to>
      <xdr:col>8</xdr:col>
      <xdr:colOff>281927</xdr:colOff>
      <xdr:row>62</xdr:row>
      <xdr:rowOff>103626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1E87F3E-D137-E92A-94A3-F64E32A8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70696" y="10734261"/>
          <a:ext cx="2286319" cy="6668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317500</xdr:colOff>
      <xdr:row>14</xdr:row>
      <xdr:rowOff>11340</xdr:rowOff>
    </xdr:from>
    <xdr:to>
      <xdr:col>18</xdr:col>
      <xdr:colOff>134885</xdr:colOff>
      <xdr:row>50</xdr:row>
      <xdr:rowOff>78950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13B3F-ABCB-EE79-92F2-24FD63701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679" y="2551340"/>
          <a:ext cx="7777563" cy="6599039"/>
        </a:xfrm>
        <a:prstGeom prst="rect">
          <a:avLst/>
        </a:prstGeom>
      </xdr:spPr>
    </xdr:pic>
    <xdr:clientData/>
  </xdr:twoCellAnchor>
  <xdr:twoCellAnchor editAs="oneCell">
    <xdr:from>
      <xdr:col>5</xdr:col>
      <xdr:colOff>351518</xdr:colOff>
      <xdr:row>5</xdr:row>
      <xdr:rowOff>68036</xdr:rowOff>
    </xdr:from>
    <xdr:to>
      <xdr:col>13</xdr:col>
      <xdr:colOff>216109</xdr:colOff>
      <xdr:row>7</xdr:row>
      <xdr:rowOff>147474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297784-B11B-1D92-8F09-292C026A9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71697" y="975179"/>
          <a:ext cx="4763162" cy="442295"/>
        </a:xfrm>
        <a:prstGeom prst="rect">
          <a:avLst/>
        </a:prstGeom>
      </xdr:spPr>
    </xdr:pic>
    <xdr:clientData/>
  </xdr:twoCellAnchor>
  <xdr:twoCellAnchor editAs="oneCell">
    <xdr:from>
      <xdr:col>5</xdr:col>
      <xdr:colOff>351518</xdr:colOff>
      <xdr:row>8</xdr:row>
      <xdr:rowOff>68036</xdr:rowOff>
    </xdr:from>
    <xdr:to>
      <xdr:col>13</xdr:col>
      <xdr:colOff>197056</xdr:colOff>
      <xdr:row>9</xdr:row>
      <xdr:rowOff>83940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EA2D92-7078-FDA3-C9F8-7232F728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1697" y="1519465"/>
          <a:ext cx="4744109" cy="197332"/>
        </a:xfrm>
        <a:prstGeom prst="rect">
          <a:avLst/>
        </a:prstGeom>
      </xdr:spPr>
    </xdr:pic>
    <xdr:clientData/>
  </xdr:twoCellAnchor>
  <xdr:twoCellAnchor editAs="oneCell">
    <xdr:from>
      <xdr:col>5</xdr:col>
      <xdr:colOff>351518</xdr:colOff>
      <xdr:row>10</xdr:row>
      <xdr:rowOff>68036</xdr:rowOff>
    </xdr:from>
    <xdr:to>
      <xdr:col>13</xdr:col>
      <xdr:colOff>235162</xdr:colOff>
      <xdr:row>11</xdr:row>
      <xdr:rowOff>150624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A35812-9F2A-2926-0CAA-CD2026E4F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71697" y="1882322"/>
          <a:ext cx="4782215" cy="264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53"/>
  <sheetViews>
    <sheetView tabSelected="1" workbookViewId="0">
      <selection activeCell="E12" sqref="E12"/>
    </sheetView>
  </sheetViews>
  <sheetFormatPr defaultRowHeight="14.5" x14ac:dyDescent="0.35"/>
  <cols>
    <col min="2" max="2" width="18.6328125" bestFit="1" customWidth="1"/>
    <col min="3" max="3" width="10.36328125" customWidth="1"/>
    <col min="4" max="4" width="12" bestFit="1" customWidth="1"/>
  </cols>
  <sheetData>
    <row r="6" spans="1:4" x14ac:dyDescent="0.35">
      <c r="A6" s="2" t="s">
        <v>0</v>
      </c>
    </row>
    <row r="7" spans="1:4" x14ac:dyDescent="0.35">
      <c r="A7" t="s">
        <v>38</v>
      </c>
      <c r="B7" t="s">
        <v>4</v>
      </c>
      <c r="C7" t="s">
        <v>9</v>
      </c>
      <c r="D7" t="s">
        <v>7</v>
      </c>
    </row>
    <row r="8" spans="1:4" x14ac:dyDescent="0.35">
      <c r="A8" t="s">
        <v>3</v>
      </c>
      <c r="B8">
        <v>0.19750000000000001</v>
      </c>
      <c r="C8" t="s">
        <v>10</v>
      </c>
      <c r="D8">
        <f>0.25*(1/3)</f>
        <v>8.3333333333333329E-2</v>
      </c>
    </row>
    <row r="9" spans="1:4" x14ac:dyDescent="0.35">
      <c r="A9" t="s">
        <v>5</v>
      </c>
      <c r="B9">
        <v>0.99</v>
      </c>
      <c r="C9" t="s">
        <v>11</v>
      </c>
      <c r="D9">
        <f>0.75*(1/3) + 0.5*(2/3)</f>
        <v>0.58333333333333326</v>
      </c>
    </row>
    <row r="10" spans="1:4" x14ac:dyDescent="0.35">
      <c r="A10" t="s">
        <v>6</v>
      </c>
      <c r="B10" t="s">
        <v>8</v>
      </c>
      <c r="D10">
        <f>0.5*(2/3)</f>
        <v>0.33333333333333331</v>
      </c>
    </row>
    <row r="12" spans="1:4" x14ac:dyDescent="0.35">
      <c r="A12" t="s">
        <v>12</v>
      </c>
      <c r="B12">
        <f>695 + 273.15</f>
        <v>968.15</v>
      </c>
      <c r="C12" t="s">
        <v>13</v>
      </c>
    </row>
    <row r="14" spans="1:4" x14ac:dyDescent="0.35">
      <c r="A14" t="s">
        <v>14</v>
      </c>
      <c r="B14" s="1">
        <v>4212.6000000000004</v>
      </c>
    </row>
    <row r="15" spans="1:4" x14ac:dyDescent="0.35">
      <c r="A15" t="s">
        <v>15</v>
      </c>
      <c r="B15" s="1">
        <v>1.0686</v>
      </c>
    </row>
    <row r="16" spans="1:4" x14ac:dyDescent="0.35">
      <c r="A16" t="s">
        <v>16</v>
      </c>
      <c r="B16" s="1">
        <f>B14 - (B15*B12)</f>
        <v>3178.0349100000003</v>
      </c>
      <c r="C16" t="s">
        <v>17</v>
      </c>
    </row>
    <row r="17" spans="1:3" x14ac:dyDescent="0.35">
      <c r="A17" t="s">
        <v>16</v>
      </c>
      <c r="B17" s="1">
        <f>B16*(1000/1)*((1/100)^3)</f>
        <v>3.1780349100000005</v>
      </c>
      <c r="C17" t="s">
        <v>35</v>
      </c>
    </row>
    <row r="21" spans="1:3" x14ac:dyDescent="0.35">
      <c r="A21" s="2" t="s">
        <v>1</v>
      </c>
      <c r="B21" s="2" t="s">
        <v>34</v>
      </c>
    </row>
    <row r="22" spans="1:3" x14ac:dyDescent="0.35">
      <c r="A22" t="s">
        <v>38</v>
      </c>
      <c r="B22" t="s">
        <v>18</v>
      </c>
    </row>
    <row r="23" spans="1:3" x14ac:dyDescent="0.35">
      <c r="A23" t="s">
        <v>19</v>
      </c>
      <c r="B23">
        <v>0.57999999999999996</v>
      </c>
    </row>
    <row r="24" spans="1:3" x14ac:dyDescent="0.35">
      <c r="A24" t="s">
        <v>20</v>
      </c>
      <c r="B24">
        <v>0.2142</v>
      </c>
    </row>
    <row r="25" spans="1:3" x14ac:dyDescent="0.35">
      <c r="A25" t="s">
        <v>21</v>
      </c>
      <c r="B25">
        <v>0.09</v>
      </c>
    </row>
    <row r="26" spans="1:3" x14ac:dyDescent="0.35">
      <c r="A26" t="s">
        <v>22</v>
      </c>
      <c r="B26">
        <v>0.05</v>
      </c>
    </row>
    <row r="27" spans="1:3" x14ac:dyDescent="0.35">
      <c r="A27" t="s">
        <v>23</v>
      </c>
      <c r="B27">
        <v>1.8249999999999999E-2</v>
      </c>
    </row>
    <row r="28" spans="1:3" x14ac:dyDescent="0.35">
      <c r="A28" t="s">
        <v>24</v>
      </c>
      <c r="B28">
        <v>1.8249999999999999E-2</v>
      </c>
    </row>
    <row r="29" spans="1:3" x14ac:dyDescent="0.35">
      <c r="A29" t="s">
        <v>25</v>
      </c>
      <c r="B29">
        <v>0.01</v>
      </c>
    </row>
    <row r="30" spans="1:3" x14ac:dyDescent="0.35">
      <c r="A30" t="s">
        <v>26</v>
      </c>
      <c r="B30">
        <v>5.0000000000000001E-3</v>
      </c>
    </row>
    <row r="31" spans="1:3" x14ac:dyDescent="0.35">
      <c r="A31" t="s">
        <v>27</v>
      </c>
      <c r="B31">
        <v>5.0000000000000001E-3</v>
      </c>
    </row>
    <row r="32" spans="1:3" x14ac:dyDescent="0.35">
      <c r="A32" t="s">
        <v>28</v>
      </c>
      <c r="B32">
        <v>4.0000000000000001E-3</v>
      </c>
    </row>
    <row r="33" spans="1:10" x14ac:dyDescent="0.35">
      <c r="A33" t="s">
        <v>29</v>
      </c>
      <c r="B33">
        <v>4.0000000000000001E-3</v>
      </c>
    </row>
    <row r="34" spans="1:10" x14ac:dyDescent="0.35">
      <c r="A34" t="s">
        <v>30</v>
      </c>
      <c r="B34">
        <v>1E-3</v>
      </c>
    </row>
    <row r="35" spans="1:10" x14ac:dyDescent="0.35">
      <c r="A35" t="s">
        <v>31</v>
      </c>
      <c r="B35">
        <v>1.4999999999999999E-4</v>
      </c>
      <c r="C35" s="2"/>
      <c r="D35" s="3"/>
      <c r="F35" s="3"/>
    </row>
    <row r="36" spans="1:10" x14ac:dyDescent="0.35">
      <c r="A36" t="s">
        <v>32</v>
      </c>
      <c r="B36">
        <v>1.4999999999999999E-4</v>
      </c>
    </row>
    <row r="37" spans="1:10" x14ac:dyDescent="0.35">
      <c r="A37" t="s">
        <v>33</v>
      </c>
      <c r="B37">
        <f>SUM(B23:B36)</f>
        <v>1</v>
      </c>
      <c r="J37" s="4"/>
    </row>
    <row r="38" spans="1:10" x14ac:dyDescent="0.35">
      <c r="J38" s="4"/>
    </row>
    <row r="39" spans="1:10" x14ac:dyDescent="0.35">
      <c r="A39" t="s">
        <v>12</v>
      </c>
      <c r="B39">
        <f>695 + 273.15</f>
        <v>968.15</v>
      </c>
      <c r="C39" t="s">
        <v>13</v>
      </c>
      <c r="J39" s="4"/>
    </row>
    <row r="40" spans="1:10" x14ac:dyDescent="0.35">
      <c r="A40" t="s">
        <v>16</v>
      </c>
      <c r="B40">
        <v>8.3000000000000007</v>
      </c>
      <c r="C40" t="s">
        <v>35</v>
      </c>
      <c r="J40" s="4"/>
    </row>
    <row r="41" spans="1:10" x14ac:dyDescent="0.35">
      <c r="J41" s="4"/>
    </row>
    <row r="42" spans="1:10" x14ac:dyDescent="0.35">
      <c r="J42" s="4"/>
    </row>
    <row r="43" spans="1:10" x14ac:dyDescent="0.35">
      <c r="J43" s="4"/>
    </row>
    <row r="44" spans="1:10" x14ac:dyDescent="0.35">
      <c r="A44" s="2" t="s">
        <v>2</v>
      </c>
      <c r="J44" s="4"/>
    </row>
    <row r="45" spans="1:10" x14ac:dyDescent="0.35">
      <c r="A45" t="s">
        <v>38</v>
      </c>
      <c r="B45" t="s">
        <v>7</v>
      </c>
      <c r="J45" s="4"/>
    </row>
    <row r="46" spans="1:10" x14ac:dyDescent="0.35">
      <c r="A46" t="s">
        <v>36</v>
      </c>
      <c r="B46">
        <v>0.5</v>
      </c>
      <c r="J46" s="4"/>
    </row>
    <row r="47" spans="1:10" x14ac:dyDescent="0.35">
      <c r="A47" t="s">
        <v>37</v>
      </c>
      <c r="B47">
        <v>0.5</v>
      </c>
      <c r="J47" s="4"/>
    </row>
    <row r="48" spans="1:10" x14ac:dyDescent="0.35">
      <c r="J48" s="4"/>
    </row>
    <row r="49" spans="1:10" x14ac:dyDescent="0.35">
      <c r="A49" t="s">
        <v>12</v>
      </c>
      <c r="B49">
        <f>695 + 273.15</f>
        <v>968.15</v>
      </c>
      <c r="C49" t="s">
        <v>13</v>
      </c>
      <c r="J49" s="4"/>
    </row>
    <row r="50" spans="1:10" x14ac:dyDescent="0.35">
      <c r="A50" t="s">
        <v>16</v>
      </c>
      <c r="B50">
        <v>3.6</v>
      </c>
      <c r="C50" t="s">
        <v>35</v>
      </c>
      <c r="J50" s="4"/>
    </row>
    <row r="51" spans="1:10" x14ac:dyDescent="0.35">
      <c r="H51" s="5"/>
    </row>
    <row r="52" spans="1:10" x14ac:dyDescent="0.35">
      <c r="J52" s="4"/>
    </row>
    <row r="53" spans="1:10" x14ac:dyDescent="0.35">
      <c r="J5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5F74-21D0-4EDB-A696-37E888C515C4}">
  <dimension ref="A8:E33"/>
  <sheetViews>
    <sheetView topLeftCell="A17" zoomScale="90" workbookViewId="0">
      <selection activeCell="E27" sqref="E27"/>
    </sheetView>
  </sheetViews>
  <sheetFormatPr defaultRowHeight="14.5" x14ac:dyDescent="0.35"/>
  <cols>
    <col min="1" max="1" width="10.1796875" customWidth="1"/>
    <col min="2" max="2" width="21.6328125" bestFit="1" customWidth="1"/>
    <col min="3" max="3" width="15" bestFit="1" customWidth="1"/>
    <col min="4" max="4" width="19.26953125" bestFit="1" customWidth="1"/>
    <col min="5" max="5" width="13.453125" bestFit="1" customWidth="1"/>
  </cols>
  <sheetData>
    <row r="8" spans="1:5" x14ac:dyDescent="0.35">
      <c r="A8" s="2" t="s">
        <v>55</v>
      </c>
    </row>
    <row r="9" spans="1:5" x14ac:dyDescent="0.35">
      <c r="A9" t="s">
        <v>56</v>
      </c>
    </row>
    <row r="10" spans="1:5" x14ac:dyDescent="0.35">
      <c r="A10" t="s">
        <v>58</v>
      </c>
      <c r="B10" t="s">
        <v>51</v>
      </c>
      <c r="C10" t="s">
        <v>53</v>
      </c>
      <c r="D10" t="s">
        <v>40</v>
      </c>
      <c r="E10" t="s">
        <v>92</v>
      </c>
    </row>
    <row r="11" spans="1:5" x14ac:dyDescent="0.35">
      <c r="A11" t="s">
        <v>39</v>
      </c>
      <c r="B11">
        <f>1.9/2</f>
        <v>0.95</v>
      </c>
      <c r="C11" s="7">
        <f>B11*100</f>
        <v>95</v>
      </c>
      <c r="D11" t="s">
        <v>41</v>
      </c>
    </row>
    <row r="12" spans="1:5" x14ac:dyDescent="0.35">
      <c r="A12" t="s">
        <v>48</v>
      </c>
      <c r="B12">
        <f>B11+0.01</f>
        <v>0.96</v>
      </c>
      <c r="C12" s="7">
        <f>B12*100</f>
        <v>96</v>
      </c>
      <c r="D12" t="s">
        <v>49</v>
      </c>
    </row>
    <row r="13" spans="1:5" x14ac:dyDescent="0.35">
      <c r="A13" t="s">
        <v>50</v>
      </c>
      <c r="B13">
        <f>B11+0.9</f>
        <v>1.85</v>
      </c>
      <c r="C13" s="7">
        <f>B13*100</f>
        <v>185</v>
      </c>
      <c r="D13" t="s">
        <v>52</v>
      </c>
      <c r="E13" t="s">
        <v>93</v>
      </c>
    </row>
    <row r="15" spans="1:5" x14ac:dyDescent="0.35">
      <c r="A15" s="2" t="s">
        <v>57</v>
      </c>
    </row>
    <row r="16" spans="1:5" x14ac:dyDescent="0.35">
      <c r="A16" t="s">
        <v>58</v>
      </c>
      <c r="B16" t="s">
        <v>59</v>
      </c>
      <c r="C16" t="s">
        <v>60</v>
      </c>
      <c r="D16" t="s">
        <v>40</v>
      </c>
      <c r="E16" t="s">
        <v>92</v>
      </c>
    </row>
    <row r="17" spans="1:5" x14ac:dyDescent="0.35">
      <c r="A17" t="s">
        <v>64</v>
      </c>
      <c r="B17">
        <f>-((3.5/2) + 0.9)</f>
        <v>-2.65</v>
      </c>
      <c r="C17" s="7">
        <f t="shared" ref="C17:C22" si="0">B17*100</f>
        <v>-265</v>
      </c>
      <c r="D17" t="s">
        <v>62</v>
      </c>
      <c r="E17" t="s">
        <v>93</v>
      </c>
    </row>
    <row r="18" spans="1:5" x14ac:dyDescent="0.35">
      <c r="A18" t="s">
        <v>61</v>
      </c>
      <c r="B18">
        <f>-((3.5/2) + 0.01)</f>
        <v>-1.76</v>
      </c>
      <c r="C18" s="7">
        <f t="shared" si="0"/>
        <v>-176</v>
      </c>
      <c r="D18" t="s">
        <v>63</v>
      </c>
    </row>
    <row r="19" spans="1:5" x14ac:dyDescent="0.35">
      <c r="A19" t="s">
        <v>54</v>
      </c>
      <c r="B19">
        <f>-(3.5/2)</f>
        <v>-1.75</v>
      </c>
      <c r="C19" s="7">
        <f t="shared" si="0"/>
        <v>-175</v>
      </c>
      <c r="D19" t="s">
        <v>65</v>
      </c>
    </row>
    <row r="20" spans="1:5" x14ac:dyDescent="0.35">
      <c r="A20" t="s">
        <v>66</v>
      </c>
      <c r="B20">
        <f>-B19</f>
        <v>1.75</v>
      </c>
      <c r="C20" s="7">
        <f t="shared" si="0"/>
        <v>175</v>
      </c>
      <c r="D20" t="s">
        <v>69</v>
      </c>
    </row>
    <row r="21" spans="1:5" x14ac:dyDescent="0.35">
      <c r="A21" t="s">
        <v>67</v>
      </c>
      <c r="B21">
        <f>-B18</f>
        <v>1.76</v>
      </c>
      <c r="C21" s="7">
        <f t="shared" si="0"/>
        <v>176</v>
      </c>
      <c r="D21" t="s">
        <v>70</v>
      </c>
    </row>
    <row r="22" spans="1:5" x14ac:dyDescent="0.35">
      <c r="A22" t="s">
        <v>68</v>
      </c>
      <c r="B22">
        <f>-B17</f>
        <v>2.65</v>
      </c>
      <c r="C22" s="7">
        <f t="shared" si="0"/>
        <v>265</v>
      </c>
      <c r="D22" t="s">
        <v>71</v>
      </c>
      <c r="E22" t="s">
        <v>93</v>
      </c>
    </row>
    <row r="25" spans="1:5" x14ac:dyDescent="0.35">
      <c r="A25" s="2" t="s">
        <v>72</v>
      </c>
    </row>
    <row r="26" spans="1:5" x14ac:dyDescent="0.35">
      <c r="A26" t="s">
        <v>73</v>
      </c>
      <c r="B26" t="s">
        <v>74</v>
      </c>
      <c r="C26" t="s">
        <v>40</v>
      </c>
    </row>
    <row r="27" spans="1:5" x14ac:dyDescent="0.35">
      <c r="A27" t="s">
        <v>52</v>
      </c>
      <c r="B27" t="s">
        <v>77</v>
      </c>
      <c r="C27" t="s">
        <v>80</v>
      </c>
    </row>
    <row r="28" spans="1:5" x14ac:dyDescent="0.35">
      <c r="A28" t="s">
        <v>52</v>
      </c>
      <c r="B28" t="s">
        <v>79</v>
      </c>
      <c r="C28" t="s">
        <v>82</v>
      </c>
    </row>
    <row r="29" spans="1:5" x14ac:dyDescent="0.35">
      <c r="A29" t="s">
        <v>52</v>
      </c>
      <c r="B29" t="s">
        <v>78</v>
      </c>
      <c r="C29" t="s">
        <v>83</v>
      </c>
    </row>
    <row r="30" spans="1:5" x14ac:dyDescent="0.35">
      <c r="A30" t="s">
        <v>75</v>
      </c>
      <c r="B30" t="s">
        <v>87</v>
      </c>
      <c r="C30" t="s">
        <v>81</v>
      </c>
    </row>
    <row r="31" spans="1:5" x14ac:dyDescent="0.35">
      <c r="A31" t="s">
        <v>75</v>
      </c>
      <c r="B31" t="s">
        <v>88</v>
      </c>
      <c r="C31" t="s">
        <v>84</v>
      </c>
    </row>
    <row r="32" spans="1:5" x14ac:dyDescent="0.35">
      <c r="A32" t="s">
        <v>75</v>
      </c>
      <c r="B32" t="s">
        <v>89</v>
      </c>
      <c r="C32" t="s">
        <v>85</v>
      </c>
    </row>
    <row r="33" spans="1:3" x14ac:dyDescent="0.35">
      <c r="A33" t="s">
        <v>76</v>
      </c>
      <c r="B33" t="s">
        <v>90</v>
      </c>
      <c r="C33" t="s">
        <v>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5AF7-BFEC-46AB-AFFC-B190D8C08D25}">
  <dimension ref="A4:D58"/>
  <sheetViews>
    <sheetView topLeftCell="A45" zoomScale="115" workbookViewId="0">
      <selection activeCell="A52" sqref="A52"/>
    </sheetView>
  </sheetViews>
  <sheetFormatPr defaultRowHeight="14.5" x14ac:dyDescent="0.35"/>
  <cols>
    <col min="2" max="2" width="10.36328125" bestFit="1" customWidth="1"/>
    <col min="3" max="4" width="13.26953125" bestFit="1" customWidth="1"/>
  </cols>
  <sheetData>
    <row r="4" spans="1:4" x14ac:dyDescent="0.35">
      <c r="A4" s="2" t="s">
        <v>0</v>
      </c>
    </row>
    <row r="5" spans="1:4" x14ac:dyDescent="0.35">
      <c r="A5" t="s">
        <v>38</v>
      </c>
      <c r="B5" t="s">
        <v>4</v>
      </c>
      <c r="C5" t="s">
        <v>9</v>
      </c>
      <c r="D5" t="s">
        <v>7</v>
      </c>
    </row>
    <row r="6" spans="1:4" x14ac:dyDescent="0.35">
      <c r="A6" t="s">
        <v>3</v>
      </c>
      <c r="B6">
        <v>0.125</v>
      </c>
      <c r="C6" t="s">
        <v>10</v>
      </c>
      <c r="D6">
        <f>0.25*(1/3)</f>
        <v>8.3333333333333329E-2</v>
      </c>
    </row>
    <row r="7" spans="1:4" x14ac:dyDescent="0.35">
      <c r="A7" t="s">
        <v>5</v>
      </c>
      <c r="B7">
        <v>0.99</v>
      </c>
      <c r="C7" t="s">
        <v>11</v>
      </c>
      <c r="D7">
        <f>0.75*(1/3) + 0.5*(2/3)</f>
        <v>0.58333333333333326</v>
      </c>
    </row>
    <row r="8" spans="1:4" x14ac:dyDescent="0.35">
      <c r="A8" t="s">
        <v>6</v>
      </c>
      <c r="B8" t="s">
        <v>8</v>
      </c>
      <c r="D8">
        <f>0.5*(2/3)</f>
        <v>0.33333333333333331</v>
      </c>
    </row>
    <row r="10" spans="1:4" x14ac:dyDescent="0.35">
      <c r="A10" t="s">
        <v>12</v>
      </c>
      <c r="B10">
        <f>700 + 273.15</f>
        <v>973.15</v>
      </c>
      <c r="C10" t="s">
        <v>13</v>
      </c>
    </row>
    <row r="12" spans="1:4" x14ac:dyDescent="0.35">
      <c r="A12" t="s">
        <v>14</v>
      </c>
      <c r="B12" s="1">
        <v>4212.6000000000004</v>
      </c>
    </row>
    <row r="13" spans="1:4" x14ac:dyDescent="0.35">
      <c r="A13" t="s">
        <v>15</v>
      </c>
      <c r="B13" s="1">
        <v>1.0686</v>
      </c>
    </row>
    <row r="14" spans="1:4" x14ac:dyDescent="0.35">
      <c r="A14" t="s">
        <v>16</v>
      </c>
      <c r="B14" s="1">
        <f>B12 - (B13*B10)</f>
        <v>3172.6919100000005</v>
      </c>
      <c r="C14" t="s">
        <v>17</v>
      </c>
    </row>
    <row r="15" spans="1:4" x14ac:dyDescent="0.35">
      <c r="A15" t="s">
        <v>16</v>
      </c>
      <c r="B15" s="1">
        <f>B14*(1000/1)*((1/100)^3)</f>
        <v>3.1726919100000011</v>
      </c>
      <c r="C15" t="s">
        <v>35</v>
      </c>
    </row>
    <row r="19" spans="1:2" x14ac:dyDescent="0.35">
      <c r="A19" s="2" t="s">
        <v>1</v>
      </c>
      <c r="B19" s="2" t="s">
        <v>34</v>
      </c>
    </row>
    <row r="20" spans="1:2" x14ac:dyDescent="0.35">
      <c r="A20" t="s">
        <v>38</v>
      </c>
      <c r="B20" t="s">
        <v>18</v>
      </c>
    </row>
    <row r="21" spans="1:2" x14ac:dyDescent="0.35">
      <c r="A21" t="s">
        <v>19</v>
      </c>
      <c r="B21">
        <v>0.57999999999999996</v>
      </c>
    </row>
    <row r="22" spans="1:2" x14ac:dyDescent="0.35">
      <c r="A22" t="s">
        <v>20</v>
      </c>
      <c r="B22">
        <v>0.2142</v>
      </c>
    </row>
    <row r="23" spans="1:2" x14ac:dyDescent="0.35">
      <c r="A23" t="s">
        <v>21</v>
      </c>
      <c r="B23">
        <v>0.09</v>
      </c>
    </row>
    <row r="24" spans="1:2" x14ac:dyDescent="0.35">
      <c r="A24" t="s">
        <v>22</v>
      </c>
      <c r="B24">
        <v>0.05</v>
      </c>
    </row>
    <row r="25" spans="1:2" x14ac:dyDescent="0.35">
      <c r="A25" t="s">
        <v>23</v>
      </c>
      <c r="B25">
        <v>1.8249999999999999E-2</v>
      </c>
    </row>
    <row r="26" spans="1:2" x14ac:dyDescent="0.35">
      <c r="A26" t="s">
        <v>24</v>
      </c>
      <c r="B26">
        <v>1.8249999999999999E-2</v>
      </c>
    </row>
    <row r="27" spans="1:2" x14ac:dyDescent="0.35">
      <c r="A27" t="s">
        <v>25</v>
      </c>
      <c r="B27">
        <v>0.01</v>
      </c>
    </row>
    <row r="28" spans="1:2" x14ac:dyDescent="0.35">
      <c r="A28" t="s">
        <v>26</v>
      </c>
      <c r="B28">
        <v>5.0000000000000001E-3</v>
      </c>
    </row>
    <row r="29" spans="1:2" x14ac:dyDescent="0.35">
      <c r="A29" t="s">
        <v>27</v>
      </c>
      <c r="B29">
        <v>5.0000000000000001E-3</v>
      </c>
    </row>
    <row r="30" spans="1:2" x14ac:dyDescent="0.35">
      <c r="A30" t="s">
        <v>28</v>
      </c>
      <c r="B30">
        <v>4.0000000000000001E-3</v>
      </c>
    </row>
    <row r="31" spans="1:2" x14ac:dyDescent="0.35">
      <c r="A31" t="s">
        <v>29</v>
      </c>
      <c r="B31">
        <v>4.0000000000000001E-3</v>
      </c>
    </row>
    <row r="32" spans="1:2" x14ac:dyDescent="0.35">
      <c r="A32" t="s">
        <v>30</v>
      </c>
      <c r="B32">
        <v>1E-3</v>
      </c>
    </row>
    <row r="33" spans="1:4" x14ac:dyDescent="0.35">
      <c r="A33" t="s">
        <v>31</v>
      </c>
      <c r="B33">
        <v>1.4999999999999999E-4</v>
      </c>
      <c r="C33" s="2"/>
      <c r="D33" s="3"/>
    </row>
    <row r="34" spans="1:4" x14ac:dyDescent="0.35">
      <c r="A34" t="s">
        <v>32</v>
      </c>
      <c r="B34">
        <v>1.4999999999999999E-4</v>
      </c>
    </row>
    <row r="35" spans="1:4" x14ac:dyDescent="0.35">
      <c r="A35" t="s">
        <v>33</v>
      </c>
      <c r="B35">
        <f>SUM(B21:B34)</f>
        <v>1</v>
      </c>
    </row>
    <row r="37" spans="1:4" x14ac:dyDescent="0.35">
      <c r="A37" t="s">
        <v>12</v>
      </c>
      <c r="B37">
        <f>700 + 273.15</f>
        <v>973.15</v>
      </c>
      <c r="C37" t="s">
        <v>13</v>
      </c>
    </row>
    <row r="38" spans="1:4" x14ac:dyDescent="0.35">
      <c r="A38" t="s">
        <v>16</v>
      </c>
      <c r="B38">
        <v>8.3000000000000007</v>
      </c>
      <c r="C38" t="s">
        <v>35</v>
      </c>
    </row>
    <row r="42" spans="1:4" x14ac:dyDescent="0.35">
      <c r="A42" s="2" t="s">
        <v>2</v>
      </c>
    </row>
    <row r="43" spans="1:4" x14ac:dyDescent="0.35">
      <c r="A43" t="s">
        <v>38</v>
      </c>
      <c r="B43" t="s">
        <v>7</v>
      </c>
    </row>
    <row r="44" spans="1:4" x14ac:dyDescent="0.35">
      <c r="A44" t="s">
        <v>42</v>
      </c>
      <c r="B44">
        <v>1</v>
      </c>
    </row>
    <row r="47" spans="1:4" x14ac:dyDescent="0.35">
      <c r="A47" t="s">
        <v>12</v>
      </c>
      <c r="B47">
        <f>700 + 273.15</f>
        <v>973.15</v>
      </c>
      <c r="C47" t="s">
        <v>13</v>
      </c>
    </row>
    <row r="48" spans="1:4" x14ac:dyDescent="0.35">
      <c r="A48" t="s">
        <v>16</v>
      </c>
      <c r="B48">
        <v>10.199999999999999</v>
      </c>
      <c r="C48" t="s">
        <v>35</v>
      </c>
    </row>
    <row r="52" spans="1:4" x14ac:dyDescent="0.35">
      <c r="A52" s="2" t="s">
        <v>44</v>
      </c>
    </row>
    <row r="53" spans="1:4" x14ac:dyDescent="0.35">
      <c r="B53" t="s">
        <v>43</v>
      </c>
      <c r="C53" t="s">
        <v>46</v>
      </c>
      <c r="D53" t="s">
        <v>45</v>
      </c>
    </row>
    <row r="54" spans="1:4" x14ac:dyDescent="0.35">
      <c r="A54" t="s">
        <v>0</v>
      </c>
      <c r="B54">
        <v>0.1</v>
      </c>
      <c r="C54" s="6">
        <f>B54*B15</f>
        <v>0.31726919100000012</v>
      </c>
      <c r="D54">
        <f>C54/C58</f>
        <v>3.3743895708037715E-2</v>
      </c>
    </row>
    <row r="55" spans="1:4" x14ac:dyDescent="0.35">
      <c r="A55" t="s">
        <v>1</v>
      </c>
      <c r="B55">
        <v>0.05</v>
      </c>
      <c r="C55">
        <f>B55*B38</f>
        <v>0.41500000000000004</v>
      </c>
      <c r="D55">
        <f>C55/C58</f>
        <v>4.4138281043606425E-2</v>
      </c>
    </row>
    <row r="56" spans="1:4" x14ac:dyDescent="0.35">
      <c r="A56" t="s">
        <v>2</v>
      </c>
      <c r="B56">
        <v>0.85</v>
      </c>
      <c r="C56">
        <f>B56*B48</f>
        <v>8.67</v>
      </c>
      <c r="D56">
        <f>C56/C58</f>
        <v>0.92211782324835589</v>
      </c>
    </row>
    <row r="58" spans="1:4" x14ac:dyDescent="0.35">
      <c r="A58" t="s">
        <v>47</v>
      </c>
      <c r="B58">
        <f>SUM(B54:B56)</f>
        <v>1</v>
      </c>
      <c r="C58">
        <f>SUM(C54:C56)</f>
        <v>9.4022691910000002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9E27-7486-4A4B-81AB-D56BD6C284DC}">
  <dimension ref="A4:E29"/>
  <sheetViews>
    <sheetView zoomScale="79" workbookViewId="0">
      <selection activeCell="E4" sqref="E4"/>
    </sheetView>
  </sheetViews>
  <sheetFormatPr defaultRowHeight="14.5" x14ac:dyDescent="0.35"/>
  <cols>
    <col min="1" max="1" width="15.90625" customWidth="1"/>
    <col min="2" max="2" width="21.36328125" bestFit="1" customWidth="1"/>
    <col min="3" max="3" width="15.54296875" bestFit="1" customWidth="1"/>
    <col min="4" max="4" width="19.90625" bestFit="1" customWidth="1"/>
    <col min="5" max="5" width="13.08984375" bestFit="1" customWidth="1"/>
  </cols>
  <sheetData>
    <row r="4" spans="1:5" x14ac:dyDescent="0.35">
      <c r="A4" s="2" t="s">
        <v>55</v>
      </c>
    </row>
    <row r="5" spans="1:5" x14ac:dyDescent="0.35">
      <c r="A5" t="s">
        <v>56</v>
      </c>
    </row>
    <row r="6" spans="1:5" x14ac:dyDescent="0.35">
      <c r="A6" t="s">
        <v>58</v>
      </c>
      <c r="B6" t="s">
        <v>51</v>
      </c>
      <c r="C6" t="s">
        <v>53</v>
      </c>
      <c r="D6" t="s">
        <v>40</v>
      </c>
      <c r="E6" t="s">
        <v>92</v>
      </c>
    </row>
    <row r="7" spans="1:5" x14ac:dyDescent="0.35">
      <c r="A7" t="s">
        <v>39</v>
      </c>
      <c r="B7">
        <f>4.2/2</f>
        <v>2.1</v>
      </c>
      <c r="C7">
        <f>B7*100</f>
        <v>210</v>
      </c>
      <c r="D7" t="s">
        <v>41</v>
      </c>
    </row>
    <row r="8" spans="1:5" x14ac:dyDescent="0.35">
      <c r="A8" t="s">
        <v>48</v>
      </c>
      <c r="B8">
        <f>B7+0.01</f>
        <v>2.11</v>
      </c>
      <c r="C8">
        <f>B8*100</f>
        <v>211</v>
      </c>
      <c r="D8" t="s">
        <v>49</v>
      </c>
    </row>
    <row r="9" spans="1:5" x14ac:dyDescent="0.35">
      <c r="A9" t="s">
        <v>50</v>
      </c>
      <c r="B9">
        <f>B7+0.7</f>
        <v>2.8</v>
      </c>
      <c r="C9">
        <f>B9*100</f>
        <v>280</v>
      </c>
      <c r="D9" t="s">
        <v>52</v>
      </c>
      <c r="E9" t="s">
        <v>93</v>
      </c>
    </row>
    <row r="11" spans="1:5" x14ac:dyDescent="0.35">
      <c r="A11" s="2" t="s">
        <v>57</v>
      </c>
    </row>
    <row r="12" spans="1:5" x14ac:dyDescent="0.35">
      <c r="A12" t="s">
        <v>58</v>
      </c>
      <c r="B12" t="s">
        <v>59</v>
      </c>
      <c r="C12" t="s">
        <v>60</v>
      </c>
      <c r="D12" t="s">
        <v>40</v>
      </c>
      <c r="E12" t="s">
        <v>92</v>
      </c>
    </row>
    <row r="13" spans="1:5" x14ac:dyDescent="0.35">
      <c r="A13" t="s">
        <v>64</v>
      </c>
      <c r="B13">
        <f>-((5/2) + 1)</f>
        <v>-3.5</v>
      </c>
      <c r="C13">
        <f t="shared" ref="C13:C18" si="0">B13*100</f>
        <v>-350</v>
      </c>
      <c r="D13" t="s">
        <v>62</v>
      </c>
      <c r="E13" t="s">
        <v>93</v>
      </c>
    </row>
    <row r="14" spans="1:5" x14ac:dyDescent="0.35">
      <c r="A14" t="s">
        <v>61</v>
      </c>
      <c r="B14">
        <f>-((5/2) + 0.01)</f>
        <v>-2.5099999999999998</v>
      </c>
      <c r="C14">
        <f t="shared" si="0"/>
        <v>-250.99999999999997</v>
      </c>
      <c r="D14" t="s">
        <v>63</v>
      </c>
    </row>
    <row r="15" spans="1:5" x14ac:dyDescent="0.35">
      <c r="A15" t="s">
        <v>54</v>
      </c>
      <c r="B15">
        <f>-(5/2)</f>
        <v>-2.5</v>
      </c>
      <c r="C15">
        <f t="shared" si="0"/>
        <v>-250</v>
      </c>
      <c r="D15" t="s">
        <v>65</v>
      </c>
    </row>
    <row r="16" spans="1:5" x14ac:dyDescent="0.35">
      <c r="A16" t="s">
        <v>66</v>
      </c>
      <c r="B16">
        <f>-B15</f>
        <v>2.5</v>
      </c>
      <c r="C16">
        <f t="shared" si="0"/>
        <v>250</v>
      </c>
      <c r="D16" t="s">
        <v>69</v>
      </c>
    </row>
    <row r="17" spans="1:5" x14ac:dyDescent="0.35">
      <c r="A17" t="s">
        <v>67</v>
      </c>
      <c r="B17">
        <f>-B14</f>
        <v>2.5099999999999998</v>
      </c>
      <c r="C17">
        <f t="shared" si="0"/>
        <v>250.99999999999997</v>
      </c>
      <c r="D17" t="s">
        <v>70</v>
      </c>
    </row>
    <row r="18" spans="1:5" x14ac:dyDescent="0.35">
      <c r="A18" t="s">
        <v>68</v>
      </c>
      <c r="B18">
        <f>-B13</f>
        <v>3.5</v>
      </c>
      <c r="C18">
        <f t="shared" si="0"/>
        <v>350</v>
      </c>
      <c r="D18" t="s">
        <v>71</v>
      </c>
      <c r="E18" t="s">
        <v>93</v>
      </c>
    </row>
    <row r="21" spans="1:5" x14ac:dyDescent="0.35">
      <c r="A21" s="2" t="s">
        <v>72</v>
      </c>
    </row>
    <row r="22" spans="1:5" x14ac:dyDescent="0.35">
      <c r="A22" t="s">
        <v>73</v>
      </c>
      <c r="B22" t="s">
        <v>74</v>
      </c>
      <c r="C22" t="s">
        <v>40</v>
      </c>
    </row>
    <row r="23" spans="1:5" x14ac:dyDescent="0.35">
      <c r="A23" t="s">
        <v>52</v>
      </c>
      <c r="B23" t="s">
        <v>77</v>
      </c>
      <c r="C23" t="s">
        <v>80</v>
      </c>
    </row>
    <row r="24" spans="1:5" x14ac:dyDescent="0.35">
      <c r="A24" t="s">
        <v>52</v>
      </c>
      <c r="B24" t="s">
        <v>79</v>
      </c>
      <c r="C24" t="s">
        <v>82</v>
      </c>
    </row>
    <row r="25" spans="1:5" x14ac:dyDescent="0.35">
      <c r="A25" t="s">
        <v>91</v>
      </c>
      <c r="B25" t="s">
        <v>78</v>
      </c>
      <c r="C25" t="s">
        <v>83</v>
      </c>
    </row>
    <row r="26" spans="1:5" x14ac:dyDescent="0.35">
      <c r="A26" t="s">
        <v>75</v>
      </c>
      <c r="B26" t="s">
        <v>87</v>
      </c>
      <c r="C26" t="s">
        <v>81</v>
      </c>
    </row>
    <row r="27" spans="1:5" x14ac:dyDescent="0.35">
      <c r="A27" t="s">
        <v>75</v>
      </c>
      <c r="B27" t="s">
        <v>88</v>
      </c>
      <c r="C27" t="s">
        <v>84</v>
      </c>
    </row>
    <row r="28" spans="1:5" x14ac:dyDescent="0.35">
      <c r="A28" t="s">
        <v>75</v>
      </c>
      <c r="B28" t="s">
        <v>89</v>
      </c>
      <c r="C28" t="s">
        <v>85</v>
      </c>
    </row>
    <row r="29" spans="1:5" x14ac:dyDescent="0.35">
      <c r="A29" t="s">
        <v>76</v>
      </c>
      <c r="B29" t="s">
        <v>90</v>
      </c>
      <c r="C29" t="s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materials MCFR D</vt:lpstr>
      <vt:lpstr>geometry MCFR-D</vt:lpstr>
      <vt:lpstr>materials MCFR C</vt:lpstr>
      <vt:lpstr>geometry MCFR-C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William Madsen</cp:lastModifiedBy>
  <dcterms:created xsi:type="dcterms:W3CDTF">2015-06-05T18:17:20Z</dcterms:created>
  <dcterms:modified xsi:type="dcterms:W3CDTF">2025-11-16T09:01:03Z</dcterms:modified>
</cp:coreProperties>
</file>